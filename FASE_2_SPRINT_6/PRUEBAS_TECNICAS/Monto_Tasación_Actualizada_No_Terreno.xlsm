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IGANEM\GITHUB\SIGANEM\FASE_2_SPRINT_6\PRUEBAS_TECNICAS\"/>
    </mc:Choice>
  </mc:AlternateContent>
  <bookViews>
    <workbookView xWindow="0" yWindow="0" windowWidth="24000" windowHeight="9735" tabRatio="923"/>
  </bookViews>
  <sheets>
    <sheet name="1. Tasac. Act. No Terreno" sheetId="6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6" l="1"/>
  <c r="C21" i="6" l="1"/>
  <c r="C22" i="6"/>
  <c r="C23" i="6" l="1"/>
  <c r="G10" i="6" s="1"/>
  <c r="P9" i="6" s="1"/>
  <c r="N10" i="6" s="1"/>
  <c r="P10" i="6" s="1"/>
  <c r="C20" i="6"/>
  <c r="G9" i="6" s="1"/>
  <c r="C14" i="6" l="1"/>
  <c r="C13" i="6" l="1"/>
  <c r="G11" i="6" l="1"/>
  <c r="G13" i="6" s="1"/>
  <c r="C15" i="6" l="1"/>
  <c r="C16" i="6" s="1"/>
</calcChain>
</file>

<file path=xl/sharedStrings.xml><?xml version="1.0" encoding="utf-8"?>
<sst xmlns="http://schemas.openxmlformats.org/spreadsheetml/2006/main" count="39" uniqueCount="38">
  <si>
    <t>Porcentaje Aceptación Terreno</t>
  </si>
  <si>
    <t>Tipo Moneda</t>
  </si>
  <si>
    <t>Tipo Bien</t>
  </si>
  <si>
    <t>Clase</t>
  </si>
  <si>
    <t>Hipoteca Común</t>
  </si>
  <si>
    <t>Provincia</t>
  </si>
  <si>
    <t>San José</t>
  </si>
  <si>
    <t>Número Bien</t>
  </si>
  <si>
    <t>Sección Detalle</t>
  </si>
  <si>
    <t>Última Tasación T</t>
  </si>
  <si>
    <t>Última Tasación NT</t>
  </si>
  <si>
    <t>Total Última Tasación</t>
  </si>
  <si>
    <t>Tasación Actualizada T</t>
  </si>
  <si>
    <t>Tasación Actualizada NT</t>
  </si>
  <si>
    <t>Total Tasación Actualizada</t>
  </si>
  <si>
    <t>Fecha Última Tasación</t>
  </si>
  <si>
    <t>Fecha Última Tasación + 6 Meses</t>
  </si>
  <si>
    <t>Fecha Construcción Garantía</t>
  </si>
  <si>
    <t>Años de vida útil del bien</t>
  </si>
  <si>
    <t>Procentaje depreación según vida útil</t>
  </si>
  <si>
    <t>&gt;=0 y &lt;=10</t>
  </si>
  <si>
    <t>&gt;10 y &lt;=40</t>
  </si>
  <si>
    <t>&gt;40</t>
  </si>
  <si>
    <t>Fecha Última Ejecución + 6 Meses</t>
  </si>
  <si>
    <t>Fecha Última Ejecución</t>
  </si>
  <si>
    <t>Procentaje Depreciación</t>
  </si>
  <si>
    <t>Última Tasación NT Anterior</t>
  </si>
  <si>
    <t>DATOS DEL CALCULO</t>
  </si>
  <si>
    <t>Valor Tasación NT a usar:</t>
  </si>
  <si>
    <t>Procentaje Depreciación:</t>
  </si>
  <si>
    <t>Tasación Calculada:</t>
  </si>
  <si>
    <t>Producto</t>
  </si>
  <si>
    <t>Tasación Calculada Vigente:</t>
  </si>
  <si>
    <t>Garantía Real</t>
  </si>
  <si>
    <t>AÑO</t>
  </si>
  <si>
    <t>I SEMESTRE</t>
  </si>
  <si>
    <t>II SEMESTRE</t>
  </si>
  <si>
    <t>MONTO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</si>
</sst>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1540A]dd\-mmm\-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E5EC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 applyFill="1" applyAlignment="1"/>
    <xf numFmtId="0" fontId="0" fillId="0" borderId="0" xfId="0" applyFill="1"/>
    <xf numFmtId="0" fontId="0" fillId="0" borderId="1" xfId="0" applyBorder="1" applyAlignment="1">
      <alignment horizontal="right"/>
    </xf>
    <xf numFmtId="164" fontId="0" fillId="0" borderId="1" xfId="0" applyNumberFormat="1" applyBorder="1"/>
    <xf numFmtId="43" fontId="0" fillId="0" borderId="1" xfId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0" fontId="0" fillId="0" borderId="1" xfId="0" applyBorder="1"/>
    <xf numFmtId="10" fontId="0" fillId="0" borderId="1" xfId="0" applyNumberFormat="1" applyBorder="1"/>
    <xf numFmtId="9" fontId="0" fillId="0" borderId="1" xfId="0" applyNumberFormat="1" applyBorder="1"/>
    <xf numFmtId="10" fontId="0" fillId="0" borderId="1" xfId="0" applyNumberFormat="1" applyBorder="1" applyAlignment="1">
      <alignment horizontal="right"/>
    </xf>
    <xf numFmtId="0" fontId="4" fillId="0" borderId="0" xfId="0" applyFont="1" applyFill="1"/>
    <xf numFmtId="0" fontId="0" fillId="0" borderId="0" xfId="0" applyFill="1" applyAlignment="1"/>
    <xf numFmtId="0" fontId="0" fillId="0" borderId="1" xfId="0" applyFill="1" applyBorder="1"/>
    <xf numFmtId="43" fontId="0" fillId="0" borderId="1" xfId="0" applyNumberFormat="1" applyFill="1" applyBorder="1"/>
    <xf numFmtId="10" fontId="0" fillId="0" borderId="1" xfId="0" applyNumberFormat="1" applyFill="1" applyBorder="1"/>
    <xf numFmtId="4" fontId="0" fillId="0" borderId="1" xfId="0" applyNumberFormat="1" applyFill="1" applyBorder="1"/>
    <xf numFmtId="1" fontId="0" fillId="0" borderId="0" xfId="0" applyNumberFormat="1" applyFill="1"/>
    <xf numFmtId="16" fontId="0" fillId="0" borderId="0" xfId="0" applyNumberFormat="1" applyFill="1"/>
    <xf numFmtId="0" fontId="0" fillId="0" borderId="0" xfId="0" applyFill="1" applyBorder="1"/>
    <xf numFmtId="43" fontId="0" fillId="0" borderId="0" xfId="0" applyNumberFormat="1" applyFill="1" applyBorder="1"/>
    <xf numFmtId="16" fontId="0" fillId="0" borderId="0" xfId="0" applyNumberFormat="1"/>
    <xf numFmtId="0" fontId="0" fillId="0" borderId="1" xfId="0" applyBorder="1" applyAlignment="1">
      <alignment horizontal="left"/>
    </xf>
    <xf numFmtId="0" fontId="0" fillId="7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4" borderId="1" xfId="0" applyFont="1" applyFill="1" applyBorder="1" applyAlignment="1">
      <alignment horizontal="left"/>
    </xf>
    <xf numFmtId="43" fontId="0" fillId="6" borderId="1" xfId="1" applyFont="1" applyFill="1" applyBorder="1" applyAlignment="1">
      <alignment horizontal="right"/>
    </xf>
    <xf numFmtId="2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9E5ECE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8"/>
  <sheetViews>
    <sheetView showGridLines="0" tabSelected="1" zoomScale="90" zoomScaleNormal="90" workbookViewId="0">
      <selection activeCell="Q31" sqref="Q31"/>
    </sheetView>
  </sheetViews>
  <sheetFormatPr defaultColWidth="9.140625" defaultRowHeight="15" x14ac:dyDescent="0.25"/>
  <cols>
    <col min="1" max="1" width="14.7109375" customWidth="1"/>
    <col min="2" max="2" width="21.7109375" customWidth="1"/>
    <col min="3" max="3" width="18.85546875" bestFit="1" customWidth="1"/>
    <col min="4" max="4" width="11" style="2" customWidth="1"/>
    <col min="5" max="5" width="10.7109375" style="2" bestFit="1" customWidth="1"/>
    <col min="6" max="6" width="26.42578125" style="2" bestFit="1" customWidth="1"/>
    <col min="7" max="7" width="16.42578125" style="2" customWidth="1"/>
    <col min="8" max="9" width="13.85546875" bestFit="1" customWidth="1"/>
    <col min="10" max="10" width="13.28515625" bestFit="1" customWidth="1"/>
    <col min="14" max="14" width="15" bestFit="1" customWidth="1"/>
    <col min="16" max="16" width="15" bestFit="1" customWidth="1"/>
  </cols>
  <sheetData>
    <row r="1" spans="1:16" x14ac:dyDescent="0.25">
      <c r="A1" s="25" t="s">
        <v>33</v>
      </c>
      <c r="B1" s="25"/>
      <c r="C1" s="25"/>
      <c r="D1" s="25"/>
      <c r="E1" s="25"/>
      <c r="F1" s="25"/>
      <c r="G1" s="1"/>
    </row>
    <row r="2" spans="1:16" x14ac:dyDescent="0.25">
      <c r="A2" s="28" t="s">
        <v>0</v>
      </c>
      <c r="B2" s="29"/>
      <c r="C2" s="29"/>
      <c r="D2" s="29"/>
      <c r="E2" s="29"/>
      <c r="F2" s="30"/>
      <c r="G2" s="1"/>
    </row>
    <row r="3" spans="1:16" x14ac:dyDescent="0.25">
      <c r="A3" s="26">
        <v>42632</v>
      </c>
      <c r="B3" s="27"/>
      <c r="C3" s="27"/>
      <c r="D3" s="27"/>
      <c r="E3" s="27"/>
      <c r="F3" s="27"/>
      <c r="G3" s="1"/>
    </row>
    <row r="4" spans="1:16" x14ac:dyDescent="0.25">
      <c r="A4" s="23" t="s">
        <v>2</v>
      </c>
      <c r="B4" s="23"/>
      <c r="C4" s="3">
        <v>2</v>
      </c>
    </row>
    <row r="5" spans="1:16" x14ac:dyDescent="0.25">
      <c r="A5" s="23" t="s">
        <v>3</v>
      </c>
      <c r="B5" s="23"/>
      <c r="C5" s="3" t="s">
        <v>4</v>
      </c>
    </row>
    <row r="6" spans="1:16" x14ac:dyDescent="0.25">
      <c r="A6" s="23" t="s">
        <v>5</v>
      </c>
      <c r="B6" s="23"/>
      <c r="C6" s="3" t="s">
        <v>6</v>
      </c>
    </row>
    <row r="7" spans="1:16" x14ac:dyDescent="0.25">
      <c r="A7" s="23" t="s">
        <v>7</v>
      </c>
      <c r="B7" s="23"/>
      <c r="C7" s="3">
        <v>850203</v>
      </c>
    </row>
    <row r="8" spans="1:16" x14ac:dyDescent="0.25">
      <c r="A8" s="34" t="s">
        <v>8</v>
      </c>
      <c r="B8" s="34"/>
      <c r="C8" s="34"/>
      <c r="F8" s="24" t="s">
        <v>27</v>
      </c>
      <c r="G8" s="24"/>
      <c r="H8" s="13"/>
      <c r="L8" s="2" t="s">
        <v>34</v>
      </c>
      <c r="M8" s="2" t="s">
        <v>35</v>
      </c>
      <c r="N8" s="20" t="s">
        <v>37</v>
      </c>
      <c r="O8" s="20" t="s">
        <v>36</v>
      </c>
      <c r="P8" s="20" t="s">
        <v>37</v>
      </c>
    </row>
    <row r="9" spans="1:16" x14ac:dyDescent="0.25">
      <c r="A9" s="23" t="s">
        <v>1</v>
      </c>
      <c r="B9" s="23"/>
      <c r="C9" s="3">
        <v>1</v>
      </c>
      <c r="F9" s="14" t="s">
        <v>28</v>
      </c>
      <c r="G9" s="15">
        <f>IF(OR(C20&gt;A3,(AND(C20&lt;=A3,C21&gt;A3)),C11&gt;C12,C11&lt;C12),(IF(C20&gt;A3,C11,G12)),C11)</f>
        <v>70567500</v>
      </c>
      <c r="L9" s="18">
        <v>2015</v>
      </c>
      <c r="M9" s="19">
        <v>42442</v>
      </c>
      <c r="N9" s="21">
        <v>75000000</v>
      </c>
      <c r="O9" s="22">
        <v>42626</v>
      </c>
      <c r="P9" s="21">
        <f>N9-(N9*G10)</f>
        <v>72750000</v>
      </c>
    </row>
    <row r="10" spans="1:16" x14ac:dyDescent="0.25">
      <c r="A10" s="23" t="s">
        <v>9</v>
      </c>
      <c r="B10" s="23"/>
      <c r="C10" s="5">
        <v>40000000</v>
      </c>
      <c r="F10" s="14" t="s">
        <v>29</v>
      </c>
      <c r="G10" s="16">
        <f>C23</f>
        <v>0.03</v>
      </c>
      <c r="L10" s="18">
        <f>L9+1</f>
        <v>2016</v>
      </c>
      <c r="M10" s="19">
        <v>42442</v>
      </c>
      <c r="N10" s="21">
        <f>P9-(P9*G10)</f>
        <v>70567500</v>
      </c>
      <c r="O10" s="22">
        <v>42626</v>
      </c>
      <c r="P10" s="21">
        <f>N10-(N10*G10)</f>
        <v>68450475</v>
      </c>
    </row>
    <row r="11" spans="1:16" x14ac:dyDescent="0.25">
      <c r="A11" s="23" t="s">
        <v>10</v>
      </c>
      <c r="B11" s="23"/>
      <c r="C11" s="5">
        <v>75000000</v>
      </c>
      <c r="F11" s="14" t="s">
        <v>31</v>
      </c>
      <c r="G11" s="17">
        <f>(G9*G10)</f>
        <v>2117025</v>
      </c>
      <c r="L11" s="18"/>
      <c r="M11" s="19"/>
      <c r="N11" s="21"/>
      <c r="O11" s="22"/>
      <c r="P11" s="21"/>
    </row>
    <row r="12" spans="1:16" x14ac:dyDescent="0.25">
      <c r="A12" s="23" t="s">
        <v>26</v>
      </c>
      <c r="B12" s="23"/>
      <c r="C12" s="5">
        <v>35000000</v>
      </c>
      <c r="F12" s="14" t="s">
        <v>32</v>
      </c>
      <c r="G12" s="15">
        <v>70567500</v>
      </c>
      <c r="L12" s="18"/>
      <c r="M12" s="19"/>
      <c r="N12" s="21"/>
      <c r="O12" s="22"/>
      <c r="P12" s="21"/>
    </row>
    <row r="13" spans="1:16" x14ac:dyDescent="0.25">
      <c r="A13" s="23" t="s">
        <v>11</v>
      </c>
      <c r="B13" s="23"/>
      <c r="C13" s="5">
        <f>SUM(C10:C11)</f>
        <v>115000000</v>
      </c>
      <c r="F13" s="14" t="s">
        <v>30</v>
      </c>
      <c r="G13" s="15">
        <f>G12-G11</f>
        <v>68450475</v>
      </c>
      <c r="L13" s="18"/>
      <c r="M13" s="19"/>
      <c r="N13" s="21"/>
      <c r="O13" s="22"/>
      <c r="P13" s="21"/>
    </row>
    <row r="14" spans="1:16" x14ac:dyDescent="0.25">
      <c r="A14" s="23" t="s">
        <v>12</v>
      </c>
      <c r="B14" s="23"/>
      <c r="C14" s="5">
        <f>C10</f>
        <v>40000000</v>
      </c>
      <c r="L14" s="18"/>
      <c r="M14" s="19"/>
      <c r="N14" s="21"/>
      <c r="O14" s="22"/>
      <c r="P14" s="21"/>
    </row>
    <row r="15" spans="1:16" x14ac:dyDescent="0.25">
      <c r="A15" s="23" t="s">
        <v>13</v>
      </c>
      <c r="B15" s="23"/>
      <c r="C15" s="35">
        <f>IF(AND(C12=0,C20&gt;A3),C11,G13)</f>
        <v>68450475</v>
      </c>
      <c r="L15" s="18"/>
      <c r="M15" s="19"/>
      <c r="N15" s="21"/>
      <c r="O15" s="22"/>
      <c r="P15" s="36"/>
    </row>
    <row r="16" spans="1:16" x14ac:dyDescent="0.25">
      <c r="A16" s="23" t="s">
        <v>14</v>
      </c>
      <c r="B16" s="23"/>
      <c r="C16" s="5">
        <f>SUM(C14:C15)</f>
        <v>108450475</v>
      </c>
      <c r="L16" s="18"/>
      <c r="M16" s="19"/>
      <c r="N16" s="36"/>
      <c r="O16" s="22"/>
      <c r="P16" s="36"/>
    </row>
    <row r="17" spans="1:16" x14ac:dyDescent="0.25">
      <c r="A17" s="23" t="s">
        <v>15</v>
      </c>
      <c r="B17" s="23"/>
      <c r="C17" s="4">
        <v>42076</v>
      </c>
      <c r="L17" s="18"/>
      <c r="M17" s="19"/>
      <c r="N17" s="36"/>
      <c r="O17" s="22"/>
      <c r="P17" s="36"/>
    </row>
    <row r="18" spans="1:16" x14ac:dyDescent="0.25">
      <c r="A18" s="23" t="s">
        <v>17</v>
      </c>
      <c r="B18" s="23"/>
      <c r="C18" s="4">
        <v>24056</v>
      </c>
      <c r="L18" s="18"/>
      <c r="M18" s="19"/>
      <c r="N18" s="36"/>
      <c r="O18" s="22"/>
      <c r="P18" s="36"/>
    </row>
    <row r="19" spans="1:16" x14ac:dyDescent="0.25">
      <c r="A19" s="23" t="s">
        <v>24</v>
      </c>
      <c r="B19" s="23"/>
      <c r="C19" s="4">
        <v>42333</v>
      </c>
      <c r="L19" s="18"/>
      <c r="M19" s="19"/>
      <c r="N19" s="36"/>
      <c r="O19" s="22"/>
      <c r="P19" s="36"/>
    </row>
    <row r="20" spans="1:16" x14ac:dyDescent="0.25">
      <c r="A20" s="32" t="s">
        <v>16</v>
      </c>
      <c r="B20" s="33"/>
      <c r="C20" s="6">
        <f>DATE(YEAR(C17),MONTH(C17)+6,DAY(C17))</f>
        <v>42260</v>
      </c>
      <c r="L20" s="18"/>
      <c r="M20" s="19"/>
      <c r="N20" s="36"/>
      <c r="O20" s="22"/>
      <c r="P20" s="36"/>
    </row>
    <row r="21" spans="1:16" x14ac:dyDescent="0.25">
      <c r="A21" s="32" t="s">
        <v>23</v>
      </c>
      <c r="B21" s="33"/>
      <c r="C21" s="6">
        <f>DATE(YEAR(C19),MONTH(C19)+6,DAY(C19))</f>
        <v>42515</v>
      </c>
      <c r="L21" s="18"/>
      <c r="M21" s="19"/>
      <c r="N21" s="36"/>
      <c r="O21" s="22"/>
      <c r="P21" s="36"/>
    </row>
    <row r="22" spans="1:16" x14ac:dyDescent="0.25">
      <c r="A22" s="32" t="s">
        <v>18</v>
      </c>
      <c r="B22" s="33"/>
      <c r="C22" s="7">
        <f>_xlfn.NUMBERVALUE(YearsMonthsDays(C18, A3,TRUE, FALSE))</f>
        <v>51.13</v>
      </c>
      <c r="D22" s="12"/>
      <c r="L22" s="18"/>
      <c r="M22" s="19"/>
      <c r="N22" s="36"/>
      <c r="O22" s="22"/>
      <c r="P22" s="36"/>
    </row>
    <row r="23" spans="1:16" x14ac:dyDescent="0.25">
      <c r="A23" s="32" t="s">
        <v>25</v>
      </c>
      <c r="B23" s="33"/>
      <c r="C23" s="11">
        <f>IF(AND(C22&gt;=0,C22&lt;=10),B27,(IF(AND(C22&gt;10,C22&lt;=40),B28,(IF(C22&gt;40,B29,0)))))</f>
        <v>0.03</v>
      </c>
      <c r="L23" s="18"/>
      <c r="M23" s="19"/>
      <c r="N23" s="36"/>
      <c r="O23" s="22"/>
      <c r="P23" s="36"/>
    </row>
    <row r="24" spans="1:16" x14ac:dyDescent="0.25">
      <c r="L24" s="18"/>
      <c r="M24" s="19"/>
      <c r="N24" s="36"/>
      <c r="O24" s="22"/>
      <c r="P24" s="36"/>
    </row>
    <row r="25" spans="1:16" x14ac:dyDescent="0.25">
      <c r="G25" s="21"/>
      <c r="I25" s="21"/>
      <c r="L25" s="18"/>
      <c r="M25" s="19"/>
      <c r="N25" s="36"/>
      <c r="O25" s="22"/>
      <c r="P25" s="36"/>
    </row>
    <row r="26" spans="1:16" x14ac:dyDescent="0.25">
      <c r="A26" s="31" t="s">
        <v>19</v>
      </c>
      <c r="B26" s="31"/>
      <c r="L26" s="18"/>
      <c r="M26" s="19"/>
      <c r="N26" s="36"/>
      <c r="O26" s="22"/>
      <c r="P26" s="36"/>
    </row>
    <row r="27" spans="1:16" x14ac:dyDescent="0.25">
      <c r="A27" s="8" t="s">
        <v>20</v>
      </c>
      <c r="B27" s="9">
        <v>8.9999999999999993E-3</v>
      </c>
      <c r="L27" s="18"/>
      <c r="M27" s="19"/>
      <c r="N27" s="36"/>
      <c r="O27" s="22"/>
      <c r="P27" s="36"/>
    </row>
    <row r="28" spans="1:16" x14ac:dyDescent="0.25">
      <c r="A28" s="8" t="s">
        <v>21</v>
      </c>
      <c r="B28" s="9">
        <v>1.4999999999999999E-2</v>
      </c>
      <c r="L28" s="18"/>
      <c r="M28" s="19"/>
      <c r="N28" s="36"/>
      <c r="O28" s="22"/>
      <c r="P28" s="36"/>
    </row>
    <row r="29" spans="1:16" x14ac:dyDescent="0.25">
      <c r="A29" s="8" t="s">
        <v>22</v>
      </c>
      <c r="B29" s="10">
        <v>0.03</v>
      </c>
      <c r="L29" s="18"/>
      <c r="M29" s="19"/>
      <c r="N29" s="36"/>
      <c r="O29" s="22"/>
      <c r="P29" s="36"/>
    </row>
    <row r="30" spans="1:16" x14ac:dyDescent="0.25">
      <c r="L30" s="18"/>
      <c r="M30" s="19"/>
      <c r="N30" s="36"/>
      <c r="O30" s="22"/>
      <c r="P30" s="36"/>
    </row>
    <row r="31" spans="1:16" x14ac:dyDescent="0.25">
      <c r="L31" s="18"/>
      <c r="M31" s="19"/>
      <c r="N31" s="36"/>
      <c r="O31" s="22"/>
      <c r="P31" s="36"/>
    </row>
    <row r="32" spans="1:16" x14ac:dyDescent="0.25">
      <c r="L32" s="18"/>
      <c r="M32" s="19"/>
      <c r="N32" s="36"/>
      <c r="O32" s="22"/>
      <c r="P32" s="36"/>
    </row>
    <row r="33" spans="12:16" x14ac:dyDescent="0.25">
      <c r="L33" s="18"/>
      <c r="M33" s="19"/>
      <c r="N33" s="36"/>
      <c r="O33" s="22"/>
      <c r="P33" s="36"/>
    </row>
    <row r="34" spans="12:16" x14ac:dyDescent="0.25">
      <c r="L34" s="18"/>
      <c r="M34" s="19"/>
      <c r="N34" s="36"/>
      <c r="O34" s="22"/>
      <c r="P34" s="36"/>
    </row>
    <row r="35" spans="12:16" x14ac:dyDescent="0.25">
      <c r="L35" s="18"/>
      <c r="M35" s="19"/>
      <c r="N35" s="36"/>
      <c r="O35" s="22"/>
      <c r="P35" s="36"/>
    </row>
    <row r="36" spans="12:16" x14ac:dyDescent="0.25">
      <c r="L36" s="18"/>
      <c r="M36" s="19"/>
      <c r="N36" s="36"/>
      <c r="O36" s="22"/>
      <c r="P36" s="36"/>
    </row>
    <row r="37" spans="12:16" x14ac:dyDescent="0.25">
      <c r="L37" s="18"/>
      <c r="M37" s="19"/>
      <c r="N37" s="36"/>
      <c r="O37" s="22"/>
      <c r="P37" s="36"/>
    </row>
    <row r="38" spans="12:16" x14ac:dyDescent="0.25">
      <c r="L38" s="18"/>
      <c r="M38" s="19"/>
      <c r="N38" s="36"/>
      <c r="O38" s="22"/>
      <c r="P38" s="36"/>
    </row>
    <row r="39" spans="12:16" x14ac:dyDescent="0.25">
      <c r="L39" s="18"/>
      <c r="M39" s="19"/>
      <c r="N39" s="36"/>
      <c r="O39" s="22"/>
      <c r="P39" s="36"/>
    </row>
    <row r="40" spans="12:16" x14ac:dyDescent="0.25">
      <c r="L40" s="18"/>
      <c r="M40" s="19"/>
      <c r="N40" s="36"/>
      <c r="O40" s="22"/>
      <c r="P40" s="36"/>
    </row>
    <row r="41" spans="12:16" x14ac:dyDescent="0.25">
      <c r="L41" s="18"/>
      <c r="M41" s="19"/>
      <c r="N41" s="36"/>
      <c r="O41" s="22"/>
      <c r="P41" s="36"/>
    </row>
    <row r="42" spans="12:16" x14ac:dyDescent="0.25">
      <c r="L42" s="18"/>
      <c r="M42" s="19"/>
      <c r="N42" s="36"/>
      <c r="O42" s="22"/>
      <c r="P42" s="36"/>
    </row>
    <row r="43" spans="12:16" x14ac:dyDescent="0.25">
      <c r="L43" s="18"/>
      <c r="M43" s="19"/>
      <c r="N43" s="36"/>
      <c r="O43" s="22"/>
      <c r="P43" s="36"/>
    </row>
    <row r="44" spans="12:16" x14ac:dyDescent="0.25">
      <c r="L44" s="18"/>
      <c r="M44" s="19"/>
      <c r="N44" s="36"/>
      <c r="O44" s="22"/>
      <c r="P44" s="36"/>
    </row>
    <row r="45" spans="12:16" x14ac:dyDescent="0.25">
      <c r="L45" s="18"/>
      <c r="M45" s="19"/>
      <c r="N45" s="36"/>
      <c r="O45" s="22"/>
      <c r="P45" s="36"/>
    </row>
    <row r="46" spans="12:16" x14ac:dyDescent="0.25">
      <c r="L46" s="18"/>
      <c r="M46" s="19"/>
      <c r="N46" s="36"/>
      <c r="O46" s="22"/>
      <c r="P46" s="36"/>
    </row>
    <row r="47" spans="12:16" x14ac:dyDescent="0.25">
      <c r="L47" s="18"/>
      <c r="M47" s="19"/>
      <c r="N47" s="36"/>
      <c r="O47" s="22"/>
      <c r="P47" s="36"/>
    </row>
    <row r="48" spans="12:16" x14ac:dyDescent="0.25">
      <c r="L48" s="18"/>
      <c r="M48" s="19"/>
      <c r="N48" s="36"/>
      <c r="O48" s="22"/>
      <c r="P48" s="36"/>
    </row>
    <row r="49" spans="12:16" x14ac:dyDescent="0.25">
      <c r="L49" s="18"/>
      <c r="M49" s="19"/>
      <c r="N49" s="36"/>
      <c r="O49" s="22"/>
      <c r="P49" s="36"/>
    </row>
    <row r="50" spans="12:16" x14ac:dyDescent="0.25">
      <c r="L50" s="18"/>
      <c r="M50" s="19"/>
      <c r="N50" s="36"/>
      <c r="O50" s="22"/>
      <c r="P50" s="36"/>
    </row>
    <row r="51" spans="12:16" x14ac:dyDescent="0.25">
      <c r="L51" s="18"/>
      <c r="M51" s="19"/>
      <c r="N51" s="36"/>
      <c r="O51" s="22"/>
      <c r="P51" s="36"/>
    </row>
    <row r="52" spans="12:16" x14ac:dyDescent="0.25">
      <c r="L52" s="18"/>
      <c r="M52" s="19"/>
      <c r="N52" s="36"/>
      <c r="O52" s="22"/>
      <c r="P52" s="36"/>
    </row>
    <row r="53" spans="12:16" x14ac:dyDescent="0.25">
      <c r="L53" s="18"/>
      <c r="M53" s="19"/>
      <c r="N53" s="36"/>
      <c r="O53" s="22"/>
      <c r="P53" s="36"/>
    </row>
    <row r="54" spans="12:16" x14ac:dyDescent="0.25">
      <c r="L54" s="18"/>
      <c r="M54" s="19"/>
      <c r="N54" s="36"/>
      <c r="O54" s="22"/>
      <c r="P54" s="36"/>
    </row>
    <row r="55" spans="12:16" x14ac:dyDescent="0.25">
      <c r="L55" s="18"/>
      <c r="M55" s="19"/>
      <c r="N55" s="36"/>
      <c r="O55" s="22"/>
      <c r="P55" s="36"/>
    </row>
    <row r="56" spans="12:16" x14ac:dyDescent="0.25">
      <c r="L56" s="18"/>
    </row>
    <row r="57" spans="12:16" x14ac:dyDescent="0.25">
      <c r="L57" s="18"/>
    </row>
    <row r="58" spans="12:16" x14ac:dyDescent="0.25">
      <c r="L58" s="18"/>
    </row>
    <row r="59" spans="12:16" x14ac:dyDescent="0.25">
      <c r="L59" s="18"/>
    </row>
    <row r="60" spans="12:16" x14ac:dyDescent="0.25">
      <c r="L60" s="18"/>
    </row>
    <row r="61" spans="12:16" x14ac:dyDescent="0.25">
      <c r="L61" s="18"/>
    </row>
    <row r="62" spans="12:16" x14ac:dyDescent="0.25">
      <c r="L62" s="18"/>
    </row>
    <row r="63" spans="12:16" x14ac:dyDescent="0.25">
      <c r="L63" s="18"/>
    </row>
    <row r="64" spans="12:16" x14ac:dyDescent="0.25">
      <c r="L64" s="18"/>
    </row>
    <row r="65" spans="12:12" x14ac:dyDescent="0.25">
      <c r="L65" s="18"/>
    </row>
    <row r="66" spans="12:12" x14ac:dyDescent="0.25">
      <c r="L66" s="18"/>
    </row>
    <row r="67" spans="12:12" x14ac:dyDescent="0.25">
      <c r="L67" s="18"/>
    </row>
    <row r="68" spans="12:12" x14ac:dyDescent="0.25">
      <c r="L68" s="18"/>
    </row>
  </sheetData>
  <mergeCells count="25">
    <mergeCell ref="A4:B4"/>
    <mergeCell ref="A1:F1"/>
    <mergeCell ref="A3:F3"/>
    <mergeCell ref="A2:F2"/>
    <mergeCell ref="A26:B26"/>
    <mergeCell ref="A21:B21"/>
    <mergeCell ref="A19:B19"/>
    <mergeCell ref="A23:B23"/>
    <mergeCell ref="A18:B18"/>
    <mergeCell ref="A20:B20"/>
    <mergeCell ref="A22:B22"/>
    <mergeCell ref="A17:B17"/>
    <mergeCell ref="A5:B5"/>
    <mergeCell ref="A6:B6"/>
    <mergeCell ref="A7:B7"/>
    <mergeCell ref="A8:C8"/>
    <mergeCell ref="A15:B15"/>
    <mergeCell ref="A16:B16"/>
    <mergeCell ref="A12:B12"/>
    <mergeCell ref="F8:G8"/>
    <mergeCell ref="A9:B9"/>
    <mergeCell ref="A10:B10"/>
    <mergeCell ref="A11:B11"/>
    <mergeCell ref="A13:B13"/>
    <mergeCell ref="A14:B14"/>
  </mergeCells>
  <pageMargins left="0.7" right="0.7" top="0.75" bottom="0.75" header="0.3" footer="0.3"/>
  <pageSetup orientation="portrait" r:id="rId1"/>
  <ignoredErrors>
    <ignoredError sqref="C13" formulaRange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Unknown Document Type" ma:contentTypeID="0x010104" ma:contentTypeVersion="0" ma:contentTypeDescription="" ma:contentTypeScope="" ma:versionID="05d83ceaa0bbd2e3bc716e6e66bd857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3d69fe45253d5ff147bb69036b756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C18A722-2511-4DFC-A2DA-F9C98A641F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F74B459-D0BF-4D98-BD5B-D56C71E1F38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5ECB12C-932C-47B3-ADA4-F61E83F3E94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1. Tasac. Act. No Terreno</vt:lpstr>
    </vt:vector>
  </TitlesOfParts>
  <Manager/>
  <Company>Hewlett-Packard Company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Barahona Vargas</dc:creator>
  <cp:keywords/>
  <dc:description/>
  <cp:lastModifiedBy>Arnoldo Martinelli Marin</cp:lastModifiedBy>
  <cp:revision/>
  <dcterms:created xsi:type="dcterms:W3CDTF">2016-04-07T15:50:12Z</dcterms:created>
  <dcterms:modified xsi:type="dcterms:W3CDTF">2016-09-20T16:26:47Z</dcterms:modified>
  <cp:category/>
  <cp:contentStatus/>
</cp:coreProperties>
</file>