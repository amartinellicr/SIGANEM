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IGANEM\GITHUB\SIGANEM\FASE_2_SPRINT_6\DISEÑO\"/>
    </mc:Choice>
  </mc:AlternateContent>
  <bookViews>
    <workbookView xWindow="0" yWindow="0" windowWidth="24000" windowHeight="9735" tabRatio="923"/>
  </bookViews>
  <sheets>
    <sheet name="1. Tasac. Act. No Terreno" sheetId="6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6" l="1"/>
  <c r="C21" i="6" l="1"/>
  <c r="C22" i="6"/>
  <c r="C23" i="6" l="1"/>
  <c r="G10" i="6" s="1"/>
  <c r="I19" i="6" s="1"/>
  <c r="G20" i="6" s="1"/>
  <c r="I20" i="6" s="1"/>
  <c r="G21" i="6" s="1"/>
  <c r="I21" i="6" s="1"/>
  <c r="G22" i="6" s="1"/>
  <c r="I22" i="6" s="1"/>
  <c r="G23" i="6" s="1"/>
  <c r="I23" i="6" s="1"/>
  <c r="G24" i="6" s="1"/>
  <c r="I24" i="6" s="1"/>
  <c r="C20" i="6"/>
  <c r="C14" i="6" l="1"/>
  <c r="C13" i="6" l="1"/>
  <c r="G11" i="6" l="1"/>
  <c r="G13" i="6" s="1"/>
  <c r="C15" i="6" s="1"/>
  <c r="C16" i="6" l="1"/>
</calcChain>
</file>

<file path=xl/sharedStrings.xml><?xml version="1.0" encoding="utf-8"?>
<sst xmlns="http://schemas.openxmlformats.org/spreadsheetml/2006/main" count="39" uniqueCount="38">
  <si>
    <t>Porcentaje Aceptación Terreno</t>
  </si>
  <si>
    <t>Tipo Moneda</t>
  </si>
  <si>
    <t>Tipo Bien</t>
  </si>
  <si>
    <t>Clase</t>
  </si>
  <si>
    <t>Hipoteca Común</t>
  </si>
  <si>
    <t>Provincia</t>
  </si>
  <si>
    <t>San José</t>
  </si>
  <si>
    <t>Número Bien</t>
  </si>
  <si>
    <t>Sección Detalle</t>
  </si>
  <si>
    <t>Última Tasación T</t>
  </si>
  <si>
    <t>Última Tasación NT</t>
  </si>
  <si>
    <t>Total Última Tasación</t>
  </si>
  <si>
    <t>Tasación Actualizada T</t>
  </si>
  <si>
    <t>Tasación Actualizada NT</t>
  </si>
  <si>
    <t>Total Tasación Actualizada</t>
  </si>
  <si>
    <t>Fecha Última Tasación</t>
  </si>
  <si>
    <t>Fecha Última Tasación + 6 Meses</t>
  </si>
  <si>
    <t>Fecha Construcción Garantía</t>
  </si>
  <si>
    <t>Años de vida útil del bien</t>
  </si>
  <si>
    <t>Procentaje depreación según vida útil</t>
  </si>
  <si>
    <t>&gt;=0 y &lt;=10</t>
  </si>
  <si>
    <t>&gt;10 y &lt;=40</t>
  </si>
  <si>
    <t>&gt;40</t>
  </si>
  <si>
    <t>Fecha Última Ejecución + 6 Meses</t>
  </si>
  <si>
    <t>Fecha Última Ejecución</t>
  </si>
  <si>
    <t>Procentaje Depreciación</t>
  </si>
  <si>
    <t>Última Tasación NT Anterior</t>
  </si>
  <si>
    <t>DATOS DEL CALCULO</t>
  </si>
  <si>
    <t>Valor Tasación NT a usar:</t>
  </si>
  <si>
    <t>Procentaje Depreciación:</t>
  </si>
  <si>
    <t>Tasación Calculada:</t>
  </si>
  <si>
    <t>Producto</t>
  </si>
  <si>
    <t>Tasación Calculada Vigente:</t>
  </si>
  <si>
    <t>Garantía Real</t>
  </si>
  <si>
    <t>AÑO</t>
  </si>
  <si>
    <t>I SEMESTRE</t>
  </si>
  <si>
    <t>II SEMESTRE</t>
  </si>
  <si>
    <t>MONTO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</si>
</sst>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1540A]dd\-mmm\-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E5EC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 applyFill="1" applyAlignment="1"/>
    <xf numFmtId="0" fontId="0" fillId="0" borderId="0" xfId="0" applyFill="1"/>
    <xf numFmtId="0" fontId="0" fillId="0" borderId="1" xfId="0" applyBorder="1" applyAlignment="1">
      <alignment horizontal="right"/>
    </xf>
    <xf numFmtId="164" fontId="0" fillId="0" borderId="1" xfId="0" applyNumberFormat="1" applyBorder="1"/>
    <xf numFmtId="43" fontId="0" fillId="0" borderId="1" xfId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0" fontId="0" fillId="0" borderId="1" xfId="0" applyBorder="1"/>
    <xf numFmtId="10" fontId="0" fillId="0" borderId="1" xfId="0" applyNumberFormat="1" applyBorder="1"/>
    <xf numFmtId="9" fontId="0" fillId="0" borderId="1" xfId="0" applyNumberFormat="1" applyBorder="1"/>
    <xf numFmtId="10" fontId="0" fillId="0" borderId="1" xfId="0" applyNumberFormat="1" applyBorder="1" applyAlignment="1">
      <alignment horizontal="right"/>
    </xf>
    <xf numFmtId="0" fontId="4" fillId="0" borderId="0" xfId="0" applyFont="1" applyFill="1"/>
    <xf numFmtId="0" fontId="0" fillId="0" borderId="0" xfId="0" applyFill="1" applyAlignment="1"/>
    <xf numFmtId="0" fontId="0" fillId="0" borderId="1" xfId="0" applyFill="1" applyBorder="1"/>
    <xf numFmtId="43" fontId="0" fillId="0" borderId="1" xfId="0" applyNumberFormat="1" applyFill="1" applyBorder="1"/>
    <xf numFmtId="10" fontId="0" fillId="0" borderId="1" xfId="0" applyNumberFormat="1" applyFill="1" applyBorder="1"/>
    <xf numFmtId="4" fontId="0" fillId="0" borderId="1" xfId="0" applyNumberFormat="1" applyFill="1" applyBorder="1"/>
    <xf numFmtId="0" fontId="0" fillId="0" borderId="1" xfId="0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1" fontId="0" fillId="0" borderId="0" xfId="0" applyNumberFormat="1" applyFill="1"/>
    <xf numFmtId="16" fontId="0" fillId="0" borderId="0" xfId="0" applyNumberFormat="1" applyFill="1"/>
    <xf numFmtId="0" fontId="0" fillId="0" borderId="0" xfId="0" applyFill="1" applyBorder="1"/>
    <xf numFmtId="43" fontId="0" fillId="0" borderId="0" xfId="0" applyNumberFormat="1" applyFill="1" applyBorder="1"/>
    <xf numFmtId="16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9E5ECE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9"/>
  <sheetViews>
    <sheetView showGridLines="0" tabSelected="1" zoomScale="90" zoomScaleNormal="90" workbookViewId="0">
      <selection activeCell="F16" sqref="F16"/>
    </sheetView>
  </sheetViews>
  <sheetFormatPr defaultColWidth="9.140625" defaultRowHeight="15" x14ac:dyDescent="0.25"/>
  <cols>
    <col min="1" max="1" width="14.7109375" customWidth="1"/>
    <col min="2" max="2" width="21.7109375" customWidth="1"/>
    <col min="3" max="3" width="18.85546875" bestFit="1" customWidth="1"/>
    <col min="4" max="4" width="11" style="2" customWidth="1"/>
    <col min="5" max="5" width="10.7109375" style="2" bestFit="1" customWidth="1"/>
    <col min="6" max="6" width="26.42578125" style="2" bestFit="1" customWidth="1"/>
    <col min="7" max="7" width="16.42578125" style="2" customWidth="1"/>
    <col min="8" max="9" width="13.85546875" bestFit="1" customWidth="1"/>
    <col min="10" max="10" width="13.28515625" bestFit="1" customWidth="1"/>
  </cols>
  <sheetData>
    <row r="1" spans="1:8" x14ac:dyDescent="0.25">
      <c r="A1" s="19" t="s">
        <v>33</v>
      </c>
      <c r="B1" s="19"/>
      <c r="C1" s="19"/>
      <c r="D1" s="19"/>
      <c r="E1" s="19"/>
      <c r="F1" s="19"/>
      <c r="G1" s="1"/>
    </row>
    <row r="2" spans="1:8" x14ac:dyDescent="0.25">
      <c r="A2" s="22" t="s">
        <v>0</v>
      </c>
      <c r="B2" s="23"/>
      <c r="C2" s="23"/>
      <c r="D2" s="23"/>
      <c r="E2" s="23"/>
      <c r="F2" s="24"/>
      <c r="G2" s="1"/>
    </row>
    <row r="3" spans="1:8" x14ac:dyDescent="0.25">
      <c r="A3" s="20">
        <v>42632</v>
      </c>
      <c r="B3" s="21"/>
      <c r="C3" s="21"/>
      <c r="D3" s="21"/>
      <c r="E3" s="21"/>
      <c r="F3" s="21"/>
      <c r="G3" s="1"/>
    </row>
    <row r="4" spans="1:8" x14ac:dyDescent="0.25">
      <c r="A4" s="18" t="s">
        <v>2</v>
      </c>
      <c r="B4" s="18"/>
      <c r="C4" s="3">
        <v>2</v>
      </c>
    </row>
    <row r="5" spans="1:8" x14ac:dyDescent="0.25">
      <c r="A5" s="18" t="s">
        <v>3</v>
      </c>
      <c r="B5" s="18"/>
      <c r="C5" s="3" t="s">
        <v>4</v>
      </c>
    </row>
    <row r="6" spans="1:8" x14ac:dyDescent="0.25">
      <c r="A6" s="18" t="s">
        <v>5</v>
      </c>
      <c r="B6" s="18"/>
      <c r="C6" s="3" t="s">
        <v>6</v>
      </c>
    </row>
    <row r="7" spans="1:8" x14ac:dyDescent="0.25">
      <c r="A7" s="18" t="s">
        <v>7</v>
      </c>
      <c r="B7" s="18"/>
      <c r="C7" s="3">
        <v>287578</v>
      </c>
    </row>
    <row r="8" spans="1:8" x14ac:dyDescent="0.25">
      <c r="A8" s="28" t="s">
        <v>8</v>
      </c>
      <c r="B8" s="28"/>
      <c r="C8" s="28"/>
      <c r="F8" s="29" t="s">
        <v>27</v>
      </c>
      <c r="G8" s="29"/>
      <c r="H8" s="13"/>
    </row>
    <row r="9" spans="1:8" x14ac:dyDescent="0.25">
      <c r="A9" s="18" t="s">
        <v>1</v>
      </c>
      <c r="B9" s="18"/>
      <c r="C9" s="3">
        <v>1</v>
      </c>
      <c r="F9" s="14" t="s">
        <v>28</v>
      </c>
      <c r="G9" s="15">
        <f>IF(OR(C20&gt;A3,(AND(C20&lt;=A3,C21&gt;A3)),C11&gt;C12,C11&lt;C12),(IF(C20&gt;A3,C11,G12)),C11)</f>
        <v>6021029.9850000003</v>
      </c>
    </row>
    <row r="10" spans="1:8" x14ac:dyDescent="0.25">
      <c r="A10" s="18" t="s">
        <v>9</v>
      </c>
      <c r="B10" s="18"/>
      <c r="C10" s="5">
        <v>18168700</v>
      </c>
      <c r="F10" s="14" t="s">
        <v>29</v>
      </c>
      <c r="G10" s="16">
        <f>C23</f>
        <v>0.03</v>
      </c>
    </row>
    <row r="11" spans="1:8" x14ac:dyDescent="0.25">
      <c r="A11" s="18" t="s">
        <v>10</v>
      </c>
      <c r="B11" s="18"/>
      <c r="C11" s="5">
        <v>7920000</v>
      </c>
      <c r="F11" s="14" t="s">
        <v>31</v>
      </c>
      <c r="G11" s="17">
        <f>(G9*G10)</f>
        <v>180630.89955</v>
      </c>
    </row>
    <row r="12" spans="1:8" x14ac:dyDescent="0.25">
      <c r="A12" s="18" t="s">
        <v>26</v>
      </c>
      <c r="B12" s="18"/>
      <c r="C12" s="5">
        <v>0</v>
      </c>
      <c r="F12" s="14" t="s">
        <v>32</v>
      </c>
      <c r="G12" s="15">
        <v>6021029.9850000003</v>
      </c>
    </row>
    <row r="13" spans="1:8" x14ac:dyDescent="0.25">
      <c r="A13" s="18" t="s">
        <v>11</v>
      </c>
      <c r="B13" s="18"/>
      <c r="C13" s="5">
        <f>SUM(C10:C11)</f>
        <v>26088700</v>
      </c>
      <c r="F13" s="14" t="s">
        <v>30</v>
      </c>
      <c r="G13" s="15">
        <f>G12-G11</f>
        <v>5840399.0854500001</v>
      </c>
    </row>
    <row r="14" spans="1:8" x14ac:dyDescent="0.25">
      <c r="A14" s="18" t="s">
        <v>12</v>
      </c>
      <c r="B14" s="18"/>
      <c r="C14" s="5">
        <f>C10</f>
        <v>18168700</v>
      </c>
    </row>
    <row r="15" spans="1:8" x14ac:dyDescent="0.25">
      <c r="A15" s="18" t="s">
        <v>13</v>
      </c>
      <c r="B15" s="18"/>
      <c r="C15" s="5">
        <f>IF(OR(C12=0,C20&gt;A3),C11,G13)</f>
        <v>7920000</v>
      </c>
    </row>
    <row r="16" spans="1:8" x14ac:dyDescent="0.25">
      <c r="A16" s="18" t="s">
        <v>14</v>
      </c>
      <c r="B16" s="18"/>
      <c r="C16" s="5">
        <f>SUM(C14:C15)</f>
        <v>26088700</v>
      </c>
    </row>
    <row r="17" spans="1:10" x14ac:dyDescent="0.25">
      <c r="A17" s="18" t="s">
        <v>15</v>
      </c>
      <c r="B17" s="18"/>
      <c r="C17" s="4">
        <v>40688</v>
      </c>
    </row>
    <row r="18" spans="1:10" x14ac:dyDescent="0.25">
      <c r="A18" s="18" t="s">
        <v>17</v>
      </c>
      <c r="B18" s="18"/>
      <c r="C18" s="4">
        <v>27760</v>
      </c>
      <c r="E18" s="2" t="s">
        <v>34</v>
      </c>
      <c r="F18" s="2" t="s">
        <v>35</v>
      </c>
      <c r="G18" s="32" t="s">
        <v>37</v>
      </c>
      <c r="H18" s="32" t="s">
        <v>36</v>
      </c>
      <c r="I18" s="32" t="s">
        <v>37</v>
      </c>
    </row>
    <row r="19" spans="1:10" x14ac:dyDescent="0.25">
      <c r="A19" s="18" t="s">
        <v>24</v>
      </c>
      <c r="B19" s="18"/>
      <c r="C19" s="4">
        <v>42333</v>
      </c>
      <c r="E19" s="30">
        <v>2011</v>
      </c>
      <c r="F19" s="31">
        <v>42515</v>
      </c>
      <c r="G19" s="33">
        <v>7920000</v>
      </c>
      <c r="H19" s="34">
        <v>42699</v>
      </c>
      <c r="I19" s="33">
        <f>G19-(G19*G10)</f>
        <v>7682400</v>
      </c>
    </row>
    <row r="20" spans="1:10" x14ac:dyDescent="0.25">
      <c r="A20" s="26" t="s">
        <v>16</v>
      </c>
      <c r="B20" s="27"/>
      <c r="C20" s="6">
        <f>DATE(YEAR(C17),MONTH(C17)+6,DAY(C17))</f>
        <v>40872</v>
      </c>
      <c r="E20" s="2">
        <v>2012</v>
      </c>
      <c r="F20" s="31">
        <v>42515</v>
      </c>
      <c r="G20" s="33">
        <f>I19-(I19*G10)</f>
        <v>7451928</v>
      </c>
      <c r="H20" s="34">
        <v>42699</v>
      </c>
      <c r="I20" s="33">
        <f>G20-(G20*G10)</f>
        <v>7228370.1600000001</v>
      </c>
    </row>
    <row r="21" spans="1:10" x14ac:dyDescent="0.25">
      <c r="A21" s="26" t="s">
        <v>23</v>
      </c>
      <c r="B21" s="27"/>
      <c r="C21" s="6">
        <f>DATE(YEAR(C19),MONTH(C19)+6,DAY(C19))</f>
        <v>42515</v>
      </c>
      <c r="E21" s="2">
        <v>2013</v>
      </c>
      <c r="F21" s="31">
        <v>42515</v>
      </c>
      <c r="G21" s="33">
        <f>I20-(I20*G10)</f>
        <v>7011519.0552000003</v>
      </c>
      <c r="H21" s="34">
        <v>42699</v>
      </c>
      <c r="I21" s="33">
        <f>G21-(G21*G10)</f>
        <v>6801173.4835440004</v>
      </c>
    </row>
    <row r="22" spans="1:10" x14ac:dyDescent="0.25">
      <c r="A22" s="26" t="s">
        <v>18</v>
      </c>
      <c r="B22" s="27"/>
      <c r="C22" s="7">
        <f>_xlfn.NUMBERVALUE(YearsMonthsDays(C18, A3,TRUE, FALSE))</f>
        <v>41.27</v>
      </c>
      <c r="D22" s="12"/>
      <c r="E22" s="2">
        <v>2014</v>
      </c>
      <c r="F22" s="31">
        <v>42515</v>
      </c>
      <c r="G22" s="33">
        <f>I21-(I21*G10)</f>
        <v>6597138.2790376805</v>
      </c>
      <c r="H22" s="34">
        <v>42699</v>
      </c>
      <c r="I22" s="33">
        <f>G22-(G22*G10)</f>
        <v>6399224.1306665502</v>
      </c>
    </row>
    <row r="23" spans="1:10" x14ac:dyDescent="0.25">
      <c r="A23" s="26" t="s">
        <v>25</v>
      </c>
      <c r="B23" s="27"/>
      <c r="C23" s="11">
        <f>IF(AND(C22&gt;=0,C22&lt;=10),B27,(IF(AND(C22&gt;10,C22&lt;=40),B28,(IF(C22&gt;40,B29,0)))))</f>
        <v>0.03</v>
      </c>
      <c r="E23" s="2">
        <v>2015</v>
      </c>
      <c r="F23" s="31">
        <v>42515</v>
      </c>
      <c r="G23" s="33">
        <f>I22-(I22*G10)</f>
        <v>6207247.4067465542</v>
      </c>
      <c r="H23" s="34">
        <v>42699</v>
      </c>
      <c r="I23" s="33">
        <f>G23-(G23*G10)</f>
        <v>6021029.984544158</v>
      </c>
      <c r="J23">
        <v>6021029.984544158</v>
      </c>
    </row>
    <row r="24" spans="1:10" x14ac:dyDescent="0.25">
      <c r="E24" s="2">
        <v>2016</v>
      </c>
      <c r="F24" s="31">
        <v>42515</v>
      </c>
      <c r="G24" s="33">
        <f>I23-(I23*G10)</f>
        <v>5840399.0850078333</v>
      </c>
      <c r="H24" s="34">
        <v>42699</v>
      </c>
      <c r="I24" s="33">
        <f>G24-(G24*G10)</f>
        <v>5665187.1124575986</v>
      </c>
    </row>
    <row r="25" spans="1:10" x14ac:dyDescent="0.25">
      <c r="G25" s="33"/>
      <c r="I25" s="33"/>
    </row>
    <row r="26" spans="1:10" x14ac:dyDescent="0.25">
      <c r="A26" s="25" t="s">
        <v>19</v>
      </c>
      <c r="B26" s="25"/>
    </row>
    <row r="27" spans="1:10" x14ac:dyDescent="0.25">
      <c r="A27" s="8" t="s">
        <v>20</v>
      </c>
      <c r="B27" s="9">
        <v>8.9999999999999993E-3</v>
      </c>
    </row>
    <row r="28" spans="1:10" x14ac:dyDescent="0.25">
      <c r="A28" s="8" t="s">
        <v>21</v>
      </c>
      <c r="B28" s="9">
        <v>1.4999999999999999E-2</v>
      </c>
    </row>
    <row r="29" spans="1:10" x14ac:dyDescent="0.25">
      <c r="A29" s="8" t="s">
        <v>22</v>
      </c>
      <c r="B29" s="10">
        <v>0.03</v>
      </c>
    </row>
  </sheetData>
  <mergeCells count="25">
    <mergeCell ref="A15:B15"/>
    <mergeCell ref="A16:B16"/>
    <mergeCell ref="A12:B12"/>
    <mergeCell ref="F8:G8"/>
    <mergeCell ref="A9:B9"/>
    <mergeCell ref="A10:B10"/>
    <mergeCell ref="A11:B11"/>
    <mergeCell ref="A13:B13"/>
    <mergeCell ref="A14:B14"/>
    <mergeCell ref="A4:B4"/>
    <mergeCell ref="A1:F1"/>
    <mergeCell ref="A3:F3"/>
    <mergeCell ref="A2:F2"/>
    <mergeCell ref="A26:B26"/>
    <mergeCell ref="A21:B21"/>
    <mergeCell ref="A19:B19"/>
    <mergeCell ref="A23:B23"/>
    <mergeCell ref="A18:B18"/>
    <mergeCell ref="A20:B20"/>
    <mergeCell ref="A22:B22"/>
    <mergeCell ref="A17:B17"/>
    <mergeCell ref="A5:B5"/>
    <mergeCell ref="A6:B6"/>
    <mergeCell ref="A7:B7"/>
    <mergeCell ref="A8:C8"/>
  </mergeCells>
  <pageMargins left="0.7" right="0.7" top="0.75" bottom="0.75" header="0.3" footer="0.3"/>
  <pageSetup orientation="portrait" r:id="rId1"/>
  <ignoredErrors>
    <ignoredError sqref="C13" formulaRang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Unknown Document Type" ma:contentTypeID="0x010104" ma:contentTypeVersion="0" ma:contentTypeDescription="" ma:contentTypeScope="" ma:versionID="05d83ceaa0bbd2e3bc716e6e66bd857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3d69fe45253d5ff147bb69036b756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5ECB12C-932C-47B3-ADA4-F61E83F3E94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F74B459-D0BF-4D98-BD5B-D56C71E1F38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18A722-2511-4DFC-A2DA-F9C98A641F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1. Tasac. Act. No Terreno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Barahona Vargas</dc:creator>
  <cp:keywords/>
  <dc:description/>
  <cp:lastModifiedBy>Arnoldo Martinelli Marin</cp:lastModifiedBy>
  <cp:revision/>
  <dcterms:created xsi:type="dcterms:W3CDTF">2016-04-07T15:50:12Z</dcterms:created>
  <dcterms:modified xsi:type="dcterms:W3CDTF">2016-09-20T12:15:10Z</dcterms:modified>
  <cp:category/>
  <cp:contentStatus/>
</cp:coreProperties>
</file>